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P Sources" sheetId="1" state="visible" r:id="rId3"/>
    <sheet name="Level Calculator" sheetId="2" state="visible" r:id="rId4"/>
    <sheet name="Titles &amp; Unlocks" sheetId="3" state="visible" r:id="rId5"/>
    <sheet name="Level-up O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<sst xmlns="http://schemas.openxmlformats.org/spreadsheetml/2006/main" count="124" uniqueCount="108">
  <si>
    <t xml:space="preserve">DreamVerse AI: where XP comes from</t>
  </si>
  <si>
    <t xml:space="preserve">Values match server/utils/xp.js and server/utils/achievementDefs.js. The server decides all XP; the browser never does.</t>
  </si>
  <si>
    <t xml:space="preserve">Action</t>
  </si>
  <si>
    <t xml:space="preserve">XP each</t>
  </si>
  <si>
    <t xml:space="preserve">Limit / rule</t>
  </si>
  <si>
    <t xml:space="preserve">Where it happens</t>
  </si>
  <si>
    <t xml:space="preserve">Notes</t>
  </si>
  <si>
    <t xml:space="preserve">Complete a roadmap task</t>
  </si>
  <si>
    <t xml:space="preserve">First completion only</t>
  </si>
  <si>
    <t xml:space="preserve">Roadmap page</t>
  </si>
  <si>
    <t xml:space="preserve">Unticking and re-ticking gives no extra XP.</t>
  </si>
  <si>
    <t xml:space="preserve">Finish a milestone</t>
  </si>
  <si>
    <t xml:space="preserve">Once per milestone</t>
  </si>
  <si>
    <t xml:space="preserve">Bonus when every task in the milestone is done.</t>
  </si>
  <si>
    <t xml:space="preserve">Life decision</t>
  </si>
  <si>
    <t xml:space="preserve">Once per scenario; at most 3 XP-earning decisions per UTC day</t>
  </si>
  <si>
    <t xml:space="preserve">Decisions page</t>
  </si>
  <si>
    <t xml:space="preserve">Extra or repeated decisions still work but earn 0 XP.</t>
  </si>
  <si>
    <t xml:space="preserve">First visit to a building</t>
  </si>
  <si>
    <t xml:space="preserve">Once each: apartment, office, café</t>
  </si>
  <si>
    <t xml:space="preserve">3D world</t>
  </si>
  <si>
    <t xml:space="preserve">The browser reports the visit; the server keeps the list.</t>
  </si>
  <si>
    <t xml:space="preserve">Daily streak bonus (per streak day)</t>
  </si>
  <si>
    <t xml:space="preserve">First useful action of each day; day N pays this x min(N, 5), so at most 5x. One bonus per day. Missing a day restarts it.</t>
  </si>
  <si>
    <t xml:space="preserve">Roadmap, Decisions, 3D world</t>
  </si>
  <si>
    <t xml:space="preserve">Counts: completing a task, making a decision, first visit to a building. Days follow the user's time zone.</t>
  </si>
  <si>
    <t xml:space="preserve">Achievement: First Dream Created</t>
  </si>
  <si>
    <t xml:space="preserve">Once</t>
  </si>
  <si>
    <t xml:space="preserve">Create Your Future</t>
  </si>
  <si>
    <t xml:space="preserve">Create your first dream.</t>
  </si>
  <si>
    <t xml:space="preserve">Achievement: Future Explorer</t>
  </si>
  <si>
    <t xml:space="preserve">Visit apartment, office and café.</t>
  </si>
  <si>
    <t xml:space="preserve">Achievement: Career Starter</t>
  </si>
  <si>
    <t xml:space="preserve">Complete your first milestone.</t>
  </si>
  <si>
    <t xml:space="preserve">Achievement: Decision Maker</t>
  </si>
  <si>
    <t xml:space="preserve">Make your first life decision.</t>
  </si>
  <si>
    <t xml:space="preserve">Achievement: Goal Achiever</t>
  </si>
  <si>
    <t xml:space="preserve">Complete every milestone on a roadmap.</t>
  </si>
  <si>
    <t xml:space="preserve">Achievement: Dream Architect</t>
  </si>
  <si>
    <t xml:space="preserve">Create three different dreams.</t>
  </si>
  <si>
    <t xml:space="preserve">XP needed per level</t>
  </si>
  <si>
    <t xml:space="preserve">Constant XP_PER_LEVEL in server/utils/xp.js. Level = INT(total XP / 500) + 1.</t>
  </si>
  <si>
    <t xml:space="preserve">Level calculator</t>
  </si>
  <si>
    <t xml:space="preserve">Edit the blue cells with yellow fill. Everything else is calculated. The example below is one finished template roadmap plus all explorer activity.</t>
  </si>
  <si>
    <t xml:space="preserve">Item</t>
  </si>
  <si>
    <t xml:space="preserve">How many</t>
  </si>
  <si>
    <t xml:space="preserve">XP total</t>
  </si>
  <si>
    <t xml:space="preserve">Roadmap tasks completed</t>
  </si>
  <si>
    <t xml:space="preserve">Milestones finished</t>
  </si>
  <si>
    <t xml:space="preserve">Rewarded life decisions</t>
  </si>
  <si>
    <t xml:space="preserve">Buildings visited for the first time (0 to 3)</t>
  </si>
  <si>
    <t xml:space="preserve">Consecutive days of daily streak (0 if none)</t>
  </si>
  <si>
    <t xml:space="preserve">Achievement: First Dream Created (1 = earned)</t>
  </si>
  <si>
    <t xml:space="preserve">Achievement: Future Explorer (1 = earned)</t>
  </si>
  <si>
    <t xml:space="preserve">Achievement: Career Starter (1 = earned)</t>
  </si>
  <si>
    <t xml:space="preserve">Achievement: Decision Maker (1 = earned)</t>
  </si>
  <si>
    <t xml:space="preserve">Achievement: Goal Achiever (1 = earned)</t>
  </si>
  <si>
    <t xml:space="preserve">Achievement: Dream Architect (1 = earned)</t>
  </si>
  <si>
    <t xml:space="preserve">Total XP</t>
  </si>
  <si>
    <t xml:space="preserve">Current level</t>
  </si>
  <si>
    <t xml:space="preserve">Level title</t>
  </si>
  <si>
    <t xml:space="preserve">XP into the current level</t>
  </si>
  <si>
    <t xml:space="preserve">XP still needed for the next level</t>
  </si>
  <si>
    <t xml:space="preserve">Progress to the next level</t>
  </si>
  <si>
    <t xml:space="preserve">Assumptions</t>
  </si>
  <si>
    <t xml:space="preserve">A template roadmap has 20 tasks and 6 milestones; AI-written roadmaps can have a different number, so change B5 and B6.</t>
  </si>
  <si>
    <t xml:space="preserve">Rewarded decisions are capped at 3 per UTC day, so 3 decisions here equals one day of play.</t>
  </si>
  <si>
    <t xml:space="preserve">The streak row assumes the streak was kept every day, with the bonus capped at 5 steps per day (as in the app). Set it to 0 for no streak.</t>
  </si>
  <si>
    <t xml:space="preserve">Example values are an illustration of one finished roadmap, not real user data.</t>
  </si>
  <si>
    <t xml:space="preserve">XP amounts come from the project code (see the XP Sources sheet); change them there and this sheet follows.</t>
  </si>
  <si>
    <t xml:space="preserve">Level titles and what unlocks</t>
  </si>
  <si>
    <t xml:space="preserve">Unlocks are cosmetic (avatar styles in the 3D world) and checked in the browser; the look is stored on the device.</t>
  </si>
  <si>
    <t xml:space="preserve">Level</t>
  </si>
  <si>
    <t xml:space="preserve">Title</t>
  </si>
  <si>
    <t xml:space="preserve">Total XP needed</t>
  </si>
  <si>
    <t xml:space="preserve">Avatar options unlocked at this level</t>
  </si>
  <si>
    <t xml:space="preserve">Explorer</t>
  </si>
  <si>
    <t xml:space="preserve">Starting options: short and bald hair, base colors, all skin tones</t>
  </si>
  <si>
    <t xml:space="preserve">Dreamer</t>
  </si>
  <si>
    <t xml:space="preserve">Long hair, pink top, indigo trousers, gold accent glow</t>
  </si>
  <si>
    <t xml:space="preserve">Builder</t>
  </si>
  <si>
    <t xml:space="preserve">Bun hairstyle, green top, purple hair color, purple accent glow</t>
  </si>
  <si>
    <t xml:space="preserve">Pathfinder</t>
  </si>
  <si>
    <t xml:space="preserve">Cyan hair color, green accent glow</t>
  </si>
  <si>
    <t xml:space="preserve">Architect</t>
  </si>
  <si>
    <t xml:space="preserve">No new styles (everything is already unlocked)</t>
  </si>
  <si>
    <t xml:space="preserve">Visionary</t>
  </si>
  <si>
    <t xml:space="preserve">Title for level 6 and above</t>
  </si>
  <si>
    <t xml:space="preserve">Ideas to make levelling more rewarding</t>
  </si>
  <si>
    <t xml:space="preserve">#</t>
  </si>
  <si>
    <t xml:space="preserve">Option</t>
  </si>
  <si>
    <t xml:space="preserve">What the user sees</t>
  </si>
  <si>
    <t xml:space="preserve">Effort</t>
  </si>
  <si>
    <t xml:space="preserve">XP farming risk</t>
  </si>
  <si>
    <t xml:space="preserve">Status</t>
  </si>
  <si>
    <t xml:space="preserve">Level titles</t>
  </si>
  <si>
    <t xml:space="preserve">Explorer, Dreamer, Builder, Architect... shown in the sidebar, dashboard and a greeting in the 3D world.</t>
  </si>
  <si>
    <t xml:space="preserve">Small</t>
  </si>
  <si>
    <t xml:space="preserve">None (adds no XP)</t>
  </si>
  <si>
    <t xml:space="preserve">Built</t>
  </si>
  <si>
    <t xml:space="preserve">Daily streak</t>
  </si>
  <si>
    <t xml:space="preserve">A small XP bonus for doing something useful on consecutive days (tick a task, make a decision).</t>
  </si>
  <si>
    <t xml:space="preserve">Medium</t>
  </si>
  <si>
    <t xml:space="preserve">Low: one capped bonus per day, max 25 XP</t>
  </si>
  <si>
    <t xml:space="preserve">Level unlocks</t>
  </si>
  <si>
    <t xml:space="preserve">Avatar items (glow colors, hairstyles, outfits) unlock at set levels, visible in the 3D world.</t>
  </si>
  <si>
    <t xml:space="preserve">Small to medium</t>
  </si>
  <si>
    <t xml:space="preserve">All three are implemented. Level unlocks and titles add no XP; the streak bonus is capped at 25 XP per day.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</si>
</sst>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0"/>
    <numFmt numFmtId="168" formatCode="@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444444"/>
      <name val="Arial"/>
      <family val="0"/>
      <charset val="1"/>
    </font>
    <font>
      <i val="true"/>
      <sz val="10"/>
      <color rgb="FF4444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1B6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D1B6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s">
        <v>7</v>
      </c>
      <c r="B4" s="5" t="n">
        <v>10</v>
      </c>
      <c r="C4" s="4" t="s">
        <v>8</v>
      </c>
      <c r="D4" s="4" t="s">
        <v>9</v>
      </c>
      <c r="E4" s="4" t="s">
        <v>10</v>
      </c>
    </row>
    <row r="5" customFormat="false" ht="15" hidden="false" customHeight="false" outlineLevel="0" collapsed="false">
      <c r="A5" s="4" t="s">
        <v>11</v>
      </c>
      <c r="B5" s="5" t="n">
        <v>50</v>
      </c>
      <c r="C5" s="4" t="s">
        <v>12</v>
      </c>
      <c r="D5" s="4" t="s">
        <v>9</v>
      </c>
      <c r="E5" s="4" t="s">
        <v>13</v>
      </c>
    </row>
    <row r="6" customFormat="false" ht="23.85" hidden="false" customHeight="false" outlineLevel="0" collapsed="false">
      <c r="A6" s="4" t="s">
        <v>14</v>
      </c>
      <c r="B6" s="5" t="n">
        <v>20</v>
      </c>
      <c r="C6" s="4" t="s">
        <v>15</v>
      </c>
      <c r="D6" s="4" t="s">
        <v>16</v>
      </c>
      <c r="E6" s="4" t="s">
        <v>17</v>
      </c>
    </row>
    <row r="7" customFormat="false" ht="15" hidden="false" customHeight="false" outlineLevel="0" collapsed="false">
      <c r="A7" s="4" t="s">
        <v>18</v>
      </c>
      <c r="B7" s="5" t="n">
        <v>10</v>
      </c>
      <c r="C7" s="4" t="s">
        <v>19</v>
      </c>
      <c r="D7" s="4" t="s">
        <v>20</v>
      </c>
      <c r="E7" s="4" t="s">
        <v>21</v>
      </c>
    </row>
    <row r="8" customFormat="false" ht="35.05" hidden="false" customHeight="false" outlineLevel="0" collapsed="false">
      <c r="A8" s="4" t="s">
        <v>22</v>
      </c>
      <c r="B8" s="5" t="n">
        <v>5</v>
      </c>
      <c r="C8" s="4" t="s">
        <v>23</v>
      </c>
      <c r="D8" s="4" t="s">
        <v>24</v>
      </c>
      <c r="E8" s="4" t="s">
        <v>25</v>
      </c>
    </row>
    <row r="9" customFormat="false" ht="15" hidden="false" customHeight="false" outlineLevel="0" collapsed="false">
      <c r="A9" s="4" t="s">
        <v>26</v>
      </c>
      <c r="B9" s="5" t="n">
        <v>50</v>
      </c>
      <c r="C9" s="4" t="s">
        <v>27</v>
      </c>
      <c r="D9" s="4" t="s">
        <v>28</v>
      </c>
      <c r="E9" s="4" t="s">
        <v>29</v>
      </c>
    </row>
    <row r="10" customFormat="false" ht="15" hidden="false" customHeight="false" outlineLevel="0" collapsed="false">
      <c r="A10" s="4" t="s">
        <v>30</v>
      </c>
      <c r="B10" s="5" t="n">
        <v>75</v>
      </c>
      <c r="C10" s="4" t="s">
        <v>27</v>
      </c>
      <c r="D10" s="4" t="s">
        <v>20</v>
      </c>
      <c r="E10" s="4" t="s">
        <v>31</v>
      </c>
    </row>
    <row r="11" customFormat="false" ht="15" hidden="false" customHeight="false" outlineLevel="0" collapsed="false">
      <c r="A11" s="4" t="s">
        <v>32</v>
      </c>
      <c r="B11" s="5" t="n">
        <v>100</v>
      </c>
      <c r="C11" s="4" t="s">
        <v>27</v>
      </c>
      <c r="D11" s="4" t="s">
        <v>9</v>
      </c>
      <c r="E11" s="4" t="s">
        <v>33</v>
      </c>
    </row>
    <row r="12" customFormat="false" ht="15" hidden="false" customHeight="false" outlineLevel="0" collapsed="false">
      <c r="A12" s="4" t="s">
        <v>34</v>
      </c>
      <c r="B12" s="5" t="n">
        <v>100</v>
      </c>
      <c r="C12" s="4" t="s">
        <v>27</v>
      </c>
      <c r="D12" s="4" t="s">
        <v>16</v>
      </c>
      <c r="E12" s="4" t="s">
        <v>35</v>
      </c>
    </row>
    <row r="13" customFormat="false" ht="15" hidden="false" customHeight="false" outlineLevel="0" collapsed="false">
      <c r="A13" s="4" t="s">
        <v>36</v>
      </c>
      <c r="B13" s="5" t="n">
        <v>150</v>
      </c>
      <c r="C13" s="4" t="s">
        <v>27</v>
      </c>
      <c r="D13" s="4" t="s">
        <v>9</v>
      </c>
      <c r="E13" s="4" t="s">
        <v>37</v>
      </c>
    </row>
    <row r="14" customFormat="false" ht="15" hidden="false" customHeight="false" outlineLevel="0" collapsed="false">
      <c r="A14" s="4" t="s">
        <v>38</v>
      </c>
      <c r="B14" s="5" t="n">
        <v>250</v>
      </c>
      <c r="C14" s="4" t="s">
        <v>27</v>
      </c>
      <c r="D14" s="4" t="s">
        <v>28</v>
      </c>
      <c r="E14" s="4" t="s">
        <v>39</v>
      </c>
    </row>
    <row r="15" customFormat="false" ht="15" hidden="false" customHeight="false" outlineLevel="0" collapsed="false">
      <c r="A15" s="4"/>
      <c r="B15" s="4"/>
      <c r="C15" s="4"/>
      <c r="D15" s="4"/>
      <c r="E15" s="4"/>
    </row>
    <row r="16" customFormat="false" ht="23.85" hidden="false" customHeight="false" outlineLevel="0" collapsed="false">
      <c r="A16" s="6" t="s">
        <v>40</v>
      </c>
      <c r="B16" s="7" t="n">
        <v>500</v>
      </c>
      <c r="C16" s="4" t="s">
        <v>41</v>
      </c>
      <c r="D16" s="4"/>
      <c r="E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3</v>
      </c>
      <c r="D4" s="3" t="s">
        <v>46</v>
      </c>
    </row>
    <row r="5" customFormat="false" ht="15" hidden="false" customHeight="false" outlineLevel="0" collapsed="false">
      <c r="A5" s="4" t="s">
        <v>47</v>
      </c>
      <c r="B5" s="8" t="n">
        <v>20</v>
      </c>
      <c r="C5" s="9" t="n">
        <f aca="false">'XP Sources'!B4</f>
        <v>10</v>
      </c>
      <c r="D5" s="10" t="n">
        <f aca="false">B5*C5</f>
        <v>200</v>
      </c>
    </row>
    <row r="6" customFormat="false" ht="15" hidden="false" customHeight="false" outlineLevel="0" collapsed="false">
      <c r="A6" s="4" t="s">
        <v>48</v>
      </c>
      <c r="B6" s="8" t="n">
        <v>6</v>
      </c>
      <c r="C6" s="9" t="n">
        <f aca="false">'XP Sources'!B5</f>
        <v>50</v>
      </c>
      <c r="D6" s="10" t="n">
        <f aca="false">B6*C6</f>
        <v>300</v>
      </c>
    </row>
    <row r="7" customFormat="false" ht="15" hidden="false" customHeight="false" outlineLevel="0" collapsed="false">
      <c r="A7" s="4" t="s">
        <v>49</v>
      </c>
      <c r="B7" s="8" t="n">
        <v>3</v>
      </c>
      <c r="C7" s="9" t="n">
        <f aca="false">'XP Sources'!B6</f>
        <v>20</v>
      </c>
      <c r="D7" s="10" t="n">
        <f aca="false">B7*C7</f>
        <v>60</v>
      </c>
    </row>
    <row r="8" customFormat="false" ht="15" hidden="false" customHeight="false" outlineLevel="0" collapsed="false">
      <c r="A8" s="4" t="s">
        <v>50</v>
      </c>
      <c r="B8" s="8" t="n">
        <v>3</v>
      </c>
      <c r="C8" s="9" t="n">
        <f aca="false">'XP Sources'!B7</f>
        <v>10</v>
      </c>
      <c r="D8" s="10" t="n">
        <f aca="false">B8*C8</f>
        <v>30</v>
      </c>
    </row>
    <row r="9" customFormat="false" ht="15" hidden="false" customHeight="false" outlineLevel="0" collapsed="false">
      <c r="A9" s="4" t="s">
        <v>51</v>
      </c>
      <c r="B9" s="8" t="n">
        <v>5</v>
      </c>
      <c r="C9" s="9" t="n">
        <f aca="false">'XP Sources'!B8</f>
        <v>5</v>
      </c>
      <c r="D9" s="10" t="n">
        <f aca="false">C9*IF(B9&lt;=5,B9*(B9+1)/2,15+5*(B9-5))</f>
        <v>75</v>
      </c>
    </row>
    <row r="10" customFormat="false" ht="15" hidden="false" customHeight="false" outlineLevel="0" collapsed="false">
      <c r="A10" s="4" t="s">
        <v>52</v>
      </c>
      <c r="B10" s="8" t="n">
        <v>1</v>
      </c>
      <c r="C10" s="9" t="n">
        <f aca="false">'XP Sources'!B9</f>
        <v>50</v>
      </c>
      <c r="D10" s="10" t="n">
        <f aca="false">B10*C10</f>
        <v>50</v>
      </c>
    </row>
    <row r="11" customFormat="false" ht="15" hidden="false" customHeight="false" outlineLevel="0" collapsed="false">
      <c r="A11" s="4" t="s">
        <v>53</v>
      </c>
      <c r="B11" s="8" t="n">
        <v>1</v>
      </c>
      <c r="C11" s="9" t="n">
        <f aca="false">'XP Sources'!B10</f>
        <v>75</v>
      </c>
      <c r="D11" s="10" t="n">
        <f aca="false">B11*C11</f>
        <v>75</v>
      </c>
    </row>
    <row r="12" customFormat="false" ht="15" hidden="false" customHeight="false" outlineLevel="0" collapsed="false">
      <c r="A12" s="4" t="s">
        <v>54</v>
      </c>
      <c r="B12" s="8" t="n">
        <v>1</v>
      </c>
      <c r="C12" s="9" t="n">
        <f aca="false">'XP Sources'!B11</f>
        <v>100</v>
      </c>
      <c r="D12" s="10" t="n">
        <f aca="false">B12*C12</f>
        <v>100</v>
      </c>
    </row>
    <row r="13" customFormat="false" ht="15" hidden="false" customHeight="false" outlineLevel="0" collapsed="false">
      <c r="A13" s="4" t="s">
        <v>55</v>
      </c>
      <c r="B13" s="8" t="n">
        <v>1</v>
      </c>
      <c r="C13" s="9" t="n">
        <f aca="false">'XP Sources'!B12</f>
        <v>100</v>
      </c>
      <c r="D13" s="10" t="n">
        <f aca="false">B13*C13</f>
        <v>100</v>
      </c>
    </row>
    <row r="14" customFormat="false" ht="15" hidden="false" customHeight="false" outlineLevel="0" collapsed="false">
      <c r="A14" s="4" t="s">
        <v>56</v>
      </c>
      <c r="B14" s="8" t="n">
        <v>1</v>
      </c>
      <c r="C14" s="9" t="n">
        <f aca="false">'XP Sources'!B13</f>
        <v>150</v>
      </c>
      <c r="D14" s="10" t="n">
        <f aca="false">B14*C14</f>
        <v>150</v>
      </c>
    </row>
    <row r="15" customFormat="false" ht="15" hidden="false" customHeight="false" outlineLevel="0" collapsed="false">
      <c r="A15" s="4" t="s">
        <v>57</v>
      </c>
      <c r="B15" s="8" t="n">
        <v>0</v>
      </c>
      <c r="C15" s="9" t="n">
        <f aca="false">'XP Sources'!B14</f>
        <v>250</v>
      </c>
      <c r="D15" s="10" t="n">
        <f aca="false">B15*C15</f>
        <v>0</v>
      </c>
    </row>
    <row r="17" customFormat="false" ht="15" hidden="false" customHeight="false" outlineLevel="0" collapsed="false">
      <c r="A17" s="11" t="s">
        <v>58</v>
      </c>
      <c r="B17" s="12" t="n">
        <f aca="false">SUM(D5:D15)</f>
        <v>1140</v>
      </c>
    </row>
    <row r="18" customFormat="false" ht="15" hidden="false" customHeight="false" outlineLevel="0" collapsed="false">
      <c r="A18" s="11" t="s">
        <v>40</v>
      </c>
      <c r="B18" s="13" t="n">
        <f aca="false">'XP Sources'!B16</f>
        <v>500</v>
      </c>
    </row>
    <row r="19" customFormat="false" ht="15" hidden="false" customHeight="false" outlineLevel="0" collapsed="false">
      <c r="A19" s="11" t="s">
        <v>59</v>
      </c>
      <c r="B19" s="14" t="n">
        <f aca="false">INT(B17/B18)+1</f>
        <v>3</v>
      </c>
    </row>
    <row r="20" customFormat="false" ht="15" hidden="false" customHeight="false" outlineLevel="0" collapsed="false">
      <c r="A20" s="11" t="s">
        <v>60</v>
      </c>
      <c r="B20" s="15" t="str">
        <f aca="false">INDEX('Titles &amp; Unlocks'!B4:B9,MIN(B19,6))</f>
        <v>Builder</v>
      </c>
    </row>
    <row r="21" customFormat="false" ht="15" hidden="false" customHeight="false" outlineLevel="0" collapsed="false">
      <c r="A21" s="11" t="s">
        <v>61</v>
      </c>
      <c r="B21" s="12" t="n">
        <f aca="false">MOD(B17,B18)</f>
        <v>140</v>
      </c>
    </row>
    <row r="22" customFormat="false" ht="15" hidden="false" customHeight="false" outlineLevel="0" collapsed="false">
      <c r="A22" s="11" t="s">
        <v>62</v>
      </c>
      <c r="B22" s="12" t="n">
        <f aca="false">B18-B21</f>
        <v>360</v>
      </c>
    </row>
    <row r="23" customFormat="false" ht="15" hidden="false" customHeight="false" outlineLevel="0" collapsed="false">
      <c r="A23" s="11" t="s">
        <v>63</v>
      </c>
      <c r="B23" s="16" t="n">
        <f aca="false">B21/B18</f>
        <v>0.28</v>
      </c>
    </row>
    <row r="25" customFormat="false" ht="15" hidden="false" customHeight="false" outlineLevel="0" collapsed="false">
      <c r="A25" s="17" t="s">
        <v>64</v>
      </c>
    </row>
    <row r="26" customFormat="false" ht="27.75" hidden="false" customHeight="true" outlineLevel="0" collapsed="false">
      <c r="A26" s="18" t="s">
        <v>65</v>
      </c>
      <c r="B26" s="18"/>
      <c r="C26" s="18"/>
      <c r="D26" s="18"/>
    </row>
    <row r="27" customFormat="false" ht="27.75" hidden="false" customHeight="true" outlineLevel="0" collapsed="false">
      <c r="A27" s="18" t="s">
        <v>66</v>
      </c>
      <c r="B27" s="18"/>
      <c r="C27" s="18"/>
      <c r="D27" s="18"/>
    </row>
    <row r="28" customFormat="false" ht="27.75" hidden="false" customHeight="true" outlineLevel="0" collapsed="false">
      <c r="A28" s="18" t="s">
        <v>67</v>
      </c>
      <c r="B28" s="18"/>
      <c r="C28" s="18"/>
      <c r="D28" s="18"/>
    </row>
    <row r="29" customFormat="false" ht="27.75" hidden="false" customHeight="true" outlineLevel="0" collapsed="false">
      <c r="A29" s="18" t="s">
        <v>68</v>
      </c>
      <c r="B29" s="18"/>
      <c r="C29" s="18"/>
      <c r="D29" s="18"/>
    </row>
    <row r="30" customFormat="false" ht="27.75" hidden="false" customHeight="true" outlineLevel="0" collapsed="false">
      <c r="A30" s="18" t="s">
        <v>69</v>
      </c>
      <c r="B30" s="18"/>
      <c r="C30" s="18"/>
      <c r="D30" s="18"/>
    </row>
  </sheetData>
  <mergeCells count="5">
    <mergeCell ref="A26:D26"/>
    <mergeCell ref="A27:D27"/>
    <mergeCell ref="A28:D28"/>
    <mergeCell ref="A29:D29"/>
    <mergeCell ref="A30:D30"/>
  </mergeCells>
  <dataValidations count="3">
    <dataValidation allowBlank="false" error="Enter a whole number, 0 or more." errorStyle="stop" errorTitle="Whole number" operator="greaterThanOrEqual" showDropDown="false" showErrorMessage="true" showInputMessage="false" sqref="B5:B7 B9" type="whole">
      <formula1>0</formula1>
      <formula2>0</formula2>
    </dataValidation>
    <dataValidation allowBlank="false" error="Enter 1 if earned, otherwise 0." errorStyle="stop" errorTitle="0 or 1" operator="between" showDropDown="false" showErrorMessage="true" showInputMessage="false" sqref="B10:B15" type="whole">
      <formula1>0</formula1>
      <formula2>1</formula2>
    </dataValidation>
    <dataValidation allowBlank="false" error="There are only three buildings." errorStyle="stop" errorTitle="0 to 3" operator="between" showDropDown="false" showErrorMessage="true" showInputMessage="false" sqref="B8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3" customFormat="false" ht="15" hidden="false" customHeight="false" outlineLevel="0" collapsed="false">
      <c r="A3" s="3" t="s">
        <v>72</v>
      </c>
      <c r="B3" s="3" t="s">
        <v>73</v>
      </c>
      <c r="C3" s="3" t="s">
        <v>74</v>
      </c>
      <c r="D3" s="3" t="s">
        <v>75</v>
      </c>
    </row>
    <row r="4" customFormat="false" ht="15" hidden="false" customHeight="false" outlineLevel="0" collapsed="false">
      <c r="A4" s="4" t="n">
        <v>1</v>
      </c>
      <c r="B4" s="4" t="s">
        <v>76</v>
      </c>
      <c r="C4" s="19" t="n">
        <f aca="false">(A4-1)*'XP Sources'!$B$16</f>
        <v>0</v>
      </c>
      <c r="D4" s="4" t="s">
        <v>77</v>
      </c>
    </row>
    <row r="5" customFormat="false" ht="15" hidden="false" customHeight="false" outlineLevel="0" collapsed="false">
      <c r="A5" s="4" t="n">
        <v>2</v>
      </c>
      <c r="B5" s="4" t="s">
        <v>78</v>
      </c>
      <c r="C5" s="19" t="n">
        <f aca="false">(A5-1)*'XP Sources'!$B$16</f>
        <v>500</v>
      </c>
      <c r="D5" s="4" t="s">
        <v>79</v>
      </c>
    </row>
    <row r="6" customFormat="false" ht="15" hidden="false" customHeight="false" outlineLevel="0" collapsed="false">
      <c r="A6" s="4" t="n">
        <v>3</v>
      </c>
      <c r="B6" s="4" t="s">
        <v>80</v>
      </c>
      <c r="C6" s="19" t="n">
        <f aca="false">(A6-1)*'XP Sources'!$B$16</f>
        <v>1000</v>
      </c>
      <c r="D6" s="4" t="s">
        <v>81</v>
      </c>
    </row>
    <row r="7" customFormat="false" ht="15" hidden="false" customHeight="false" outlineLevel="0" collapsed="false">
      <c r="A7" s="4" t="n">
        <v>4</v>
      </c>
      <c r="B7" s="4" t="s">
        <v>82</v>
      </c>
      <c r="C7" s="19" t="n">
        <f aca="false">(A7-1)*'XP Sources'!$B$16</f>
        <v>1500</v>
      </c>
      <c r="D7" s="4" t="s">
        <v>83</v>
      </c>
    </row>
    <row r="8" customFormat="false" ht="15" hidden="false" customHeight="false" outlineLevel="0" collapsed="false">
      <c r="A8" s="4" t="n">
        <v>5</v>
      </c>
      <c r="B8" s="4" t="s">
        <v>84</v>
      </c>
      <c r="C8" s="19" t="n">
        <f aca="false">(A8-1)*'XP Sources'!$B$16</f>
        <v>2000</v>
      </c>
      <c r="D8" s="4" t="s">
        <v>85</v>
      </c>
    </row>
    <row r="9" customFormat="false" ht="15" hidden="false" customHeight="false" outlineLevel="0" collapsed="false">
      <c r="A9" s="4" t="n">
        <v>6</v>
      </c>
      <c r="B9" s="4" t="s">
        <v>86</v>
      </c>
      <c r="C9" s="19" t="n">
        <f aca="false">(A9-1)*'XP Sources'!$B$16</f>
        <v>2500</v>
      </c>
      <c r="D9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88</v>
      </c>
    </row>
    <row r="3" customFormat="false" ht="15" hidden="false" customHeight="false" outlineLevel="0" collapsed="false">
      <c r="A3" s="3" t="s">
        <v>89</v>
      </c>
      <c r="B3" s="3" t="s">
        <v>90</v>
      </c>
      <c r="C3" s="3" t="s">
        <v>91</v>
      </c>
      <c r="D3" s="3" t="s">
        <v>92</v>
      </c>
      <c r="E3" s="3" t="s">
        <v>93</v>
      </c>
      <c r="F3" s="3" t="s">
        <v>94</v>
      </c>
    </row>
    <row r="4" customFormat="false" ht="23.85" hidden="false" customHeight="false" outlineLevel="0" collapsed="false">
      <c r="A4" s="4" t="n">
        <v>1</v>
      </c>
      <c r="B4" s="4" t="s">
        <v>95</v>
      </c>
      <c r="C4" s="4" t="s">
        <v>96</v>
      </c>
      <c r="D4" s="4" t="s">
        <v>97</v>
      </c>
      <c r="E4" s="4" t="s">
        <v>98</v>
      </c>
      <c r="F4" s="4" t="s">
        <v>99</v>
      </c>
    </row>
    <row r="5" customFormat="false" ht="23.85" hidden="false" customHeight="false" outlineLevel="0" collapsed="false">
      <c r="A5" s="4" t="n">
        <v>2</v>
      </c>
      <c r="B5" s="4" t="s">
        <v>100</v>
      </c>
      <c r="C5" s="4" t="s">
        <v>101</v>
      </c>
      <c r="D5" s="4" t="s">
        <v>102</v>
      </c>
      <c r="E5" s="4" t="s">
        <v>103</v>
      </c>
      <c r="F5" s="4" t="s">
        <v>99</v>
      </c>
    </row>
    <row r="6" customFormat="false" ht="23.85" hidden="false" customHeight="false" outlineLevel="0" collapsed="false">
      <c r="A6" s="4" t="n">
        <v>3</v>
      </c>
      <c r="B6" s="4" t="s">
        <v>104</v>
      </c>
      <c r="C6" s="4" t="s">
        <v>105</v>
      </c>
      <c r="D6" s="4" t="s">
        <v>106</v>
      </c>
      <c r="E6" s="4" t="s">
        <v>98</v>
      </c>
      <c r="F6" s="4" t="s">
        <v>99</v>
      </c>
    </row>
    <row r="8" customFormat="false" ht="15" hidden="false" customHeight="false" outlineLevel="0" collapsed="false">
      <c r="A8" s="2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2026-10-19T22:23:28Z</dcterms:created>
  <dc:creator>openpyxl</dc:creator>
  <dc:description/>
  <dc:language>en-US</dc:language>
  <cp:lastModifiedBy/>
  <dcterms:modified xsi:type="dcterms:W3CDTF">2026-10-19T22:23:28Z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